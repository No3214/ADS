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ütçe" sheetId="1" state="visible" r:id="rId3"/>
    <sheet name="ROAS Senaryo" sheetId="2" state="visible" r:id="rId4"/>
    <sheet name="Aylık İzleme" sheetId="3" state="visible" r:id="rId5"/>
    <sheet name="Sezon" sheetId="4" state="visible" r:id="rId6"/>
    <sheet name="Funnel KPI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<sst xmlns="http://schemas.openxmlformats.org/spreadsheetml/2006/main" count="96" uniqueCount="92">
  <si>
    <t xml:space="preserve">Kozbeyli Konağı — Aylık Medya Bütçesi (30.000 TL)</t>
  </si>
  <si>
    <t xml:space="preserve">Platform</t>
  </si>
  <si>
    <t xml:space="preserve">Kampanya</t>
  </si>
  <si>
    <t xml:space="preserve">Aylık (TL)</t>
  </si>
  <si>
    <t xml:space="preserve">Günlük (TL)</t>
  </si>
  <si>
    <t xml:space="preserve">İşlev</t>
  </si>
  <si>
    <t xml:space="preserve">Google</t>
  </si>
  <si>
    <t xml:space="preserve">Marka Search</t>
  </si>
  <si>
    <t xml:space="preserve">Marka / OTA savunması</t>
  </si>
  <si>
    <t xml:space="preserve">Dar non-brand Search</t>
  </si>
  <si>
    <t xml:space="preserve">Yüksek niyetli yeni talep</t>
  </si>
  <si>
    <t xml:space="preserve">Kontrollü test</t>
  </si>
  <si>
    <t xml:space="preserve">Arama terimi &amp; sezon testi</t>
  </si>
  <si>
    <t xml:space="preserve">Meta</t>
  </si>
  <si>
    <t xml:space="preserve">Prospecting (Website Sales)</t>
  </si>
  <si>
    <t xml:space="preserve">Yeni kitle, direkt rezervasyon</t>
  </si>
  <si>
    <t xml:space="preserve">WhatsApp / Mesaj</t>
  </si>
  <si>
    <t xml:space="preserve">Nitelikli rezervasyon görüşmesi</t>
  </si>
  <si>
    <t xml:space="preserve">TOPLAM</t>
  </si>
  <si>
    <t xml:space="preserve">Google 15.000 + Meta 15.000</t>
  </si>
  <si>
    <t xml:space="preserve">Mavi = girdi (değiştirilebilir). Siyah = formül. Ay 2+ Meta: Prospecting 9.000 / Retargeting 3.000 / WhatsApp 3.000.</t>
  </si>
  <si>
    <t xml:space="preserve">Hedef ROAS → Gereken Gelir &amp; Rezervasyon</t>
  </si>
  <si>
    <t xml:space="preserve">Aylık medya bütçesi (TL)</t>
  </si>
  <si>
    <t xml:space="preserve">Senaryo</t>
  </si>
  <si>
    <t xml:space="preserve">Hedef ROAS</t>
  </si>
  <si>
    <t xml:space="preserve">Gereken gelir (TL)</t>
  </si>
  <si>
    <t xml:space="preserve">Ort. 7.500 → rez.</t>
  </si>
  <si>
    <t xml:space="preserve">Ort. 10.000 → rez.</t>
  </si>
  <si>
    <t xml:space="preserve">Muhafazakâr</t>
  </si>
  <si>
    <t xml:space="preserve">Hedef</t>
  </si>
  <si>
    <t xml:space="preserve">Başabaş (medya geri kazanımı)</t>
  </si>
  <si>
    <t xml:space="preserve">Sayılar planlama tahminidir, garanti değildir. ROAS = izlenen rezervasyon geliri / medya harcaması.</t>
  </si>
  <si>
    <t xml:space="preserve">Aylık Performans İzleme (formüllü)</t>
  </si>
  <si>
    <t xml:space="preserve">Ay</t>
  </si>
  <si>
    <t xml:space="preserve">Google harcama</t>
  </si>
  <si>
    <t xml:space="preserve">Meta harcama</t>
  </si>
  <si>
    <t xml:space="preserve">Toplam harcama</t>
  </si>
  <si>
    <t xml:space="preserve">İzlenen gelir</t>
  </si>
  <si>
    <t xml:space="preserve">Blended ROAS</t>
  </si>
  <si>
    <t xml:space="preserve">Rezervasyon</t>
  </si>
  <si>
    <t xml:space="preserve">Blended CPA</t>
  </si>
  <si>
    <t xml:space="preserve">Oca</t>
  </si>
  <si>
    <t xml:space="preserve">Şub</t>
  </si>
  <si>
    <t xml:space="preserve">Mar</t>
  </si>
  <si>
    <t xml:space="preserve">Nis</t>
  </si>
  <si>
    <t xml:space="preserve">May</t>
  </si>
  <si>
    <t xml:space="preserve">Haz</t>
  </si>
  <si>
    <t xml:space="preserve">Tem</t>
  </si>
  <si>
    <t xml:space="preserve">Ağu</t>
  </si>
  <si>
    <t xml:space="preserve">Eyl</t>
  </si>
  <si>
    <t xml:space="preserve">Eki</t>
  </si>
  <si>
    <t xml:space="preserve">Kas</t>
  </si>
  <si>
    <t xml:space="preserve">Ara</t>
  </si>
  <si>
    <t xml:space="preserve">Mavi hücreleri (harcama/gelir/rezervasyon) doldur; ROAS, CPA, toplam otomatik hesaplanır.</t>
  </si>
  <si>
    <t xml:space="preserve">Sezon Bütçe Ağırlığı</t>
  </si>
  <si>
    <t xml:space="preserve">Aylık bütçe (TL)</t>
  </si>
  <si>
    <t xml:space="preserve">Sezon</t>
  </si>
  <si>
    <t xml:space="preserve">Ağırlık %</t>
  </si>
  <si>
    <t xml:space="preserve">Bütçe (TL)</t>
  </si>
  <si>
    <t xml:space="preserve">Odak</t>
  </si>
  <si>
    <t xml:space="preserve">Yüksek (Haz–Eyl)</t>
  </si>
  <si>
    <t xml:space="preserve">Marka koru + Meta prospecting; DOLU tarihte kıs</t>
  </si>
  <si>
    <t xml:space="preserve">Düşük (Kas–Mar)</t>
  </si>
  <si>
    <t xml:space="preserve">Dar non-brand kıs; WhatsApp + retargeting + içerik/SEO</t>
  </si>
  <si>
    <t xml:space="preserve">Geçiş (Nis–May, Eki)</t>
  </si>
  <si>
    <t xml:space="preserve">Prospecting + içerik + email; 2 gece paketi</t>
  </si>
  <si>
    <t xml:space="preserve">Ağırlık = aylık bütçenin sezon harcama oranı (doluluk-duyarlı; dolu tarihte düşür).</t>
  </si>
  <si>
    <t xml:space="preserve">Dönüşüm Hunisi — KPI çerçevesi</t>
  </si>
  <si>
    <t xml:space="preserve">Aşama</t>
  </si>
  <si>
    <t xml:space="preserve">Kanal</t>
  </si>
  <si>
    <t xml:space="preserve">KPI</t>
  </si>
  <si>
    <t xml:space="preserve">Düzeltme</t>
  </si>
  <si>
    <t xml:space="preserve">1 Farkındalık</t>
  </si>
  <si>
    <t xml:space="preserve">Meta prospecting, TikTok/Reels, SEO, AEO</t>
  </si>
  <si>
    <t xml:space="preserve">erişim, CTR, ziyaret</t>
  </si>
  <si>
    <t xml:space="preserve">creatives/ + aeo/</t>
  </si>
  <si>
    <t xml:space="preserve">2 Değerlendirme</t>
  </si>
  <si>
    <t xml:space="preserve">site /odalar /gastronomi, IG, yorumlar</t>
  </si>
  <si>
    <t xml:space="preserve">oda görüntüleme, süre</t>
  </si>
  <si>
    <t xml:space="preserve">aeo/ + profiles/</t>
  </si>
  <si>
    <t xml:space="preserve">3 Niyet</t>
  </si>
  <si>
    <t xml:space="preserve">Marka Search, retargeting, WhatsApp</t>
  </si>
  <si>
    <t xml:space="preserve">begin_checkout, lead</t>
  </si>
  <si>
    <t xml:space="preserve">campaigns/ + whatsapp/</t>
  </si>
  <si>
    <t xml:space="preserve">4 Rezervasyon</t>
  </si>
  <si>
    <t xml:space="preserve">HMS motoru, WhatsApp</t>
  </si>
  <si>
    <t xml:space="preserve">purchase, CVR</t>
  </si>
  <si>
    <t xml:space="preserve">tracking/ + fixes/</t>
  </si>
  <si>
    <t xml:space="preserve">5 Sadakat</t>
  </si>
  <si>
    <t xml:space="preserve">email, WhatsApp takip, yorum</t>
  </si>
  <si>
    <t xml:space="preserve">tekrar rez., yorum</t>
  </si>
  <si>
    <t xml:space="preserve">email/ + whatsapp/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</si>
</sst>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[RED]\(#,##0\);\-"/>
    <numFmt numFmtId="166" formatCode="0.0\x"/>
    <numFmt numFmtId="167" formatCode="#,##0;\(#,##0\);\-"/>
    <numFmt numFmtId="168" formatCode="#,##0"/>
    <numFmt numFmtId="169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F6B4F"/>
        <bgColor rgb="FF339966"/>
      </patternFill>
    </fill>
    <fill>
      <patternFill patternType="solid">
        <fgColor rgb="FFEFE9DC"/>
        <bgColor rgb="FFFFF3CD"/>
      </patternFill>
    </fill>
    <fill>
      <patternFill patternType="solid">
        <fgColor rgb="FFFFF3CD"/>
        <bgColor rgb="FFEFE9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2"/>
      </left>
      <right style="thin">
        <color rgb="FFD9D2C2"/>
      </right>
      <top style="thin">
        <color rgb="FFD9D2C2"/>
      </top>
      <bottom style="thin">
        <color rgb="FFD9D2C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C2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FE9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F6B4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4" min="3" style="0" width="14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3" t="s">
        <v>6</v>
      </c>
      <c r="B4" s="3" t="s">
        <v>7</v>
      </c>
      <c r="C4" s="4" t="n">
        <v>4500</v>
      </c>
      <c r="D4" s="4" t="n">
        <v>148</v>
      </c>
      <c r="E4" s="3" t="s">
        <v>8</v>
      </c>
    </row>
    <row r="5" customFormat="false" ht="15" hidden="false" customHeight="false" outlineLevel="0" collapsed="false">
      <c r="A5" s="3" t="s">
        <v>6</v>
      </c>
      <c r="B5" s="3" t="s">
        <v>9</v>
      </c>
      <c r="C5" s="4" t="n">
        <v>9000</v>
      </c>
      <c r="D5" s="4" t="n">
        <v>296</v>
      </c>
      <c r="E5" s="3" t="s">
        <v>10</v>
      </c>
    </row>
    <row r="6" customFormat="false" ht="15" hidden="false" customHeight="false" outlineLevel="0" collapsed="false">
      <c r="A6" s="3" t="s">
        <v>6</v>
      </c>
      <c r="B6" s="3" t="s">
        <v>11</v>
      </c>
      <c r="C6" s="4" t="n">
        <v>1500</v>
      </c>
      <c r="D6" s="4" t="n">
        <v>49</v>
      </c>
      <c r="E6" s="3" t="s">
        <v>12</v>
      </c>
    </row>
    <row r="7" customFormat="false" ht="15" hidden="false" customHeight="false" outlineLevel="0" collapsed="false">
      <c r="A7" s="3" t="s">
        <v>13</v>
      </c>
      <c r="B7" s="3" t="s">
        <v>14</v>
      </c>
      <c r="C7" s="4" t="n">
        <v>10500</v>
      </c>
      <c r="D7" s="4" t="n">
        <v>350</v>
      </c>
      <c r="E7" s="3" t="s">
        <v>15</v>
      </c>
    </row>
    <row r="8" customFormat="false" ht="15" hidden="false" customHeight="false" outlineLevel="0" collapsed="false">
      <c r="A8" s="3" t="s">
        <v>13</v>
      </c>
      <c r="B8" s="3" t="s">
        <v>16</v>
      </c>
      <c r="C8" s="4" t="n">
        <v>4500</v>
      </c>
      <c r="D8" s="4" t="n">
        <v>150</v>
      </c>
      <c r="E8" s="3" t="s">
        <v>17</v>
      </c>
    </row>
    <row r="9" customFormat="false" ht="15" hidden="false" customHeight="false" outlineLevel="0" collapsed="false">
      <c r="A9" s="5"/>
      <c r="B9" s="6" t="s">
        <v>18</v>
      </c>
      <c r="C9" s="7" t="n">
        <f aca="false">SUM(C4:C8)</f>
        <v>30000</v>
      </c>
      <c r="D9" s="7" t="n">
        <f aca="false">SUM(D4:D8)</f>
        <v>993</v>
      </c>
      <c r="E9" s="8" t="s">
        <v>19</v>
      </c>
    </row>
    <row r="11" customFormat="false" ht="15" hidden="false" customHeight="false" outlineLevel="0" collapsed="false">
      <c r="A11" s="9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1" t="s">
        <v>21</v>
      </c>
    </row>
    <row r="3" customFormat="false" ht="15" hidden="false" customHeight="false" outlineLevel="0" collapsed="false">
      <c r="A3" s="10" t="s">
        <v>22</v>
      </c>
      <c r="B3" s="11" t="n">
        <v>30000</v>
      </c>
    </row>
    <row r="5" customFormat="false" ht="15" hidden="false" customHeight="false" outlineLevel="0" collapsed="false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</row>
    <row r="6" customFormat="false" ht="15" hidden="false" customHeight="false" outlineLevel="0" collapsed="false">
      <c r="A6" s="3" t="s">
        <v>28</v>
      </c>
      <c r="B6" s="12" t="n">
        <v>3</v>
      </c>
      <c r="C6" s="13" t="n">
        <f aca="false">$B$3*B6</f>
        <v>90000</v>
      </c>
      <c r="D6" s="3" t="n">
        <f aca="false">ROUNDUP(C6/7500,0)</f>
        <v>12</v>
      </c>
      <c r="E6" s="3" t="n">
        <f aca="false">ROUNDUP(C6/10000,0)</f>
        <v>9</v>
      </c>
    </row>
    <row r="7" customFormat="false" ht="15" hidden="false" customHeight="false" outlineLevel="0" collapsed="false">
      <c r="A7" s="3" t="s">
        <v>29</v>
      </c>
      <c r="B7" s="12" t="n">
        <v>4</v>
      </c>
      <c r="C7" s="13" t="n">
        <f aca="false">$B$3*B7</f>
        <v>120000</v>
      </c>
      <c r="D7" s="3" t="n">
        <f aca="false">ROUNDUP(C7/7500,0)</f>
        <v>16</v>
      </c>
      <c r="E7" s="3" t="n">
        <f aca="false">ROUNDUP(C7/10000,0)</f>
        <v>12</v>
      </c>
    </row>
    <row r="9" customFormat="false" ht="15" hidden="false" customHeight="false" outlineLevel="0" collapsed="false">
      <c r="A9" s="6" t="s">
        <v>30</v>
      </c>
      <c r="B9" s="5"/>
      <c r="C9" s="14" t="n">
        <f aca="false">$B$3</f>
        <v>30000</v>
      </c>
      <c r="D9" s="8" t="n">
        <f aca="false">ROUNDUP(C9/7500,0)</f>
        <v>4</v>
      </c>
      <c r="E9" s="8" t="n">
        <f aca="false">ROUNDUP(C9/10000,0)</f>
        <v>3</v>
      </c>
    </row>
    <row r="11" customFormat="false" ht="15" hidden="false" customHeight="false" outlineLevel="0" collapsed="false">
      <c r="A11" s="9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5" min="2" style="0" width="16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5"/>
  </cols>
  <sheetData>
    <row r="1" customFormat="false" ht="17.35" hidden="false" customHeight="false" outlineLevel="0" collapsed="false">
      <c r="A1" s="1" t="s">
        <v>32</v>
      </c>
    </row>
    <row r="3" customFormat="false" ht="15" hidden="false" customHeight="false" outlineLevel="0" collapsed="false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  <c r="H3" s="2" t="s">
        <v>40</v>
      </c>
    </row>
    <row r="4" customFormat="false" ht="15" hidden="false" customHeight="false" outlineLevel="0" collapsed="false">
      <c r="A4" s="3" t="s">
        <v>41</v>
      </c>
      <c r="B4" s="4" t="n">
        <v>0</v>
      </c>
      <c r="C4" s="4" t="n">
        <v>0</v>
      </c>
      <c r="D4" s="13" t="n">
        <f aca="false">B4+C4</f>
        <v>0</v>
      </c>
      <c r="E4" s="4" t="n">
        <v>0</v>
      </c>
      <c r="F4" s="15" t="n">
        <f aca="false">IF(D4=0,0,E4/D4)</f>
        <v>0</v>
      </c>
      <c r="G4" s="16" t="n">
        <v>0</v>
      </c>
      <c r="H4" s="13" t="n">
        <f aca="false">IF(G4=0,0,D4/G4)</f>
        <v>0</v>
      </c>
    </row>
    <row r="5" customFormat="false" ht="15" hidden="false" customHeight="false" outlineLevel="0" collapsed="false">
      <c r="A5" s="3" t="s">
        <v>42</v>
      </c>
      <c r="B5" s="4" t="n">
        <v>0</v>
      </c>
      <c r="C5" s="4" t="n">
        <v>0</v>
      </c>
      <c r="D5" s="13" t="n">
        <f aca="false">B5+C5</f>
        <v>0</v>
      </c>
      <c r="E5" s="4" t="n">
        <v>0</v>
      </c>
      <c r="F5" s="15" t="n">
        <f aca="false">IF(D5=0,0,E5/D5)</f>
        <v>0</v>
      </c>
      <c r="G5" s="16" t="n">
        <v>0</v>
      </c>
      <c r="H5" s="13" t="n">
        <f aca="false">IF(G5=0,0,D5/G5)</f>
        <v>0</v>
      </c>
    </row>
    <row r="6" customFormat="false" ht="15" hidden="false" customHeight="false" outlineLevel="0" collapsed="false">
      <c r="A6" s="3" t="s">
        <v>43</v>
      </c>
      <c r="B6" s="4" t="n">
        <v>0</v>
      </c>
      <c r="C6" s="4" t="n">
        <v>0</v>
      </c>
      <c r="D6" s="13" t="n">
        <f aca="false">B6+C6</f>
        <v>0</v>
      </c>
      <c r="E6" s="4" t="n">
        <v>0</v>
      </c>
      <c r="F6" s="15" t="n">
        <f aca="false">IF(D6=0,0,E6/D6)</f>
        <v>0</v>
      </c>
      <c r="G6" s="16" t="n">
        <v>0</v>
      </c>
      <c r="H6" s="13" t="n">
        <f aca="false">IF(G6=0,0,D6/G6)</f>
        <v>0</v>
      </c>
    </row>
    <row r="7" customFormat="false" ht="15" hidden="false" customHeight="false" outlineLevel="0" collapsed="false">
      <c r="A7" s="3" t="s">
        <v>44</v>
      </c>
      <c r="B7" s="4" t="n">
        <v>0</v>
      </c>
      <c r="C7" s="4" t="n">
        <v>0</v>
      </c>
      <c r="D7" s="13" t="n">
        <f aca="false">B7+C7</f>
        <v>0</v>
      </c>
      <c r="E7" s="4" t="n">
        <v>0</v>
      </c>
      <c r="F7" s="15" t="n">
        <f aca="false">IF(D7=0,0,E7/D7)</f>
        <v>0</v>
      </c>
      <c r="G7" s="16" t="n">
        <v>0</v>
      </c>
      <c r="H7" s="13" t="n">
        <f aca="false">IF(G7=0,0,D7/G7)</f>
        <v>0</v>
      </c>
    </row>
    <row r="8" customFormat="false" ht="15" hidden="false" customHeight="false" outlineLevel="0" collapsed="false">
      <c r="A8" s="3" t="s">
        <v>45</v>
      </c>
      <c r="B8" s="4" t="n">
        <v>0</v>
      </c>
      <c r="C8" s="4" t="n">
        <v>0</v>
      </c>
      <c r="D8" s="13" t="n">
        <f aca="false">B8+C8</f>
        <v>0</v>
      </c>
      <c r="E8" s="4" t="n">
        <v>0</v>
      </c>
      <c r="F8" s="15" t="n">
        <f aca="false">IF(D8=0,0,E8/D8)</f>
        <v>0</v>
      </c>
      <c r="G8" s="16" t="n">
        <v>0</v>
      </c>
      <c r="H8" s="13" t="n">
        <f aca="false">IF(G8=0,0,D8/G8)</f>
        <v>0</v>
      </c>
    </row>
    <row r="9" customFormat="false" ht="15" hidden="false" customHeight="false" outlineLevel="0" collapsed="false">
      <c r="A9" s="3" t="s">
        <v>46</v>
      </c>
      <c r="B9" s="4" t="n">
        <v>0</v>
      </c>
      <c r="C9" s="4" t="n">
        <v>0</v>
      </c>
      <c r="D9" s="13" t="n">
        <f aca="false">B9+C9</f>
        <v>0</v>
      </c>
      <c r="E9" s="4" t="n">
        <v>0</v>
      </c>
      <c r="F9" s="15" t="n">
        <f aca="false">IF(D9=0,0,E9/D9)</f>
        <v>0</v>
      </c>
      <c r="G9" s="16" t="n">
        <v>0</v>
      </c>
      <c r="H9" s="13" t="n">
        <f aca="false">IF(G9=0,0,D9/G9)</f>
        <v>0</v>
      </c>
    </row>
    <row r="10" customFormat="false" ht="15" hidden="false" customHeight="false" outlineLevel="0" collapsed="false">
      <c r="A10" s="3" t="s">
        <v>47</v>
      </c>
      <c r="B10" s="4" t="n">
        <v>0</v>
      </c>
      <c r="C10" s="4" t="n">
        <v>0</v>
      </c>
      <c r="D10" s="13" t="n">
        <f aca="false">B10+C10</f>
        <v>0</v>
      </c>
      <c r="E10" s="4" t="n">
        <v>0</v>
      </c>
      <c r="F10" s="15" t="n">
        <f aca="false">IF(D10=0,0,E10/D10)</f>
        <v>0</v>
      </c>
      <c r="G10" s="16" t="n">
        <v>0</v>
      </c>
      <c r="H10" s="13" t="n">
        <f aca="false">IF(G10=0,0,D10/G10)</f>
        <v>0</v>
      </c>
    </row>
    <row r="11" customFormat="false" ht="15" hidden="false" customHeight="false" outlineLevel="0" collapsed="false">
      <c r="A11" s="3" t="s">
        <v>48</v>
      </c>
      <c r="B11" s="4" t="n">
        <v>0</v>
      </c>
      <c r="C11" s="4" t="n">
        <v>0</v>
      </c>
      <c r="D11" s="13" t="n">
        <f aca="false">B11+C11</f>
        <v>0</v>
      </c>
      <c r="E11" s="4" t="n">
        <v>0</v>
      </c>
      <c r="F11" s="15" t="n">
        <f aca="false">IF(D11=0,0,E11/D11)</f>
        <v>0</v>
      </c>
      <c r="G11" s="16" t="n">
        <v>0</v>
      </c>
      <c r="H11" s="13" t="n">
        <f aca="false">IF(G11=0,0,D11/G11)</f>
        <v>0</v>
      </c>
    </row>
    <row r="12" customFormat="false" ht="15" hidden="false" customHeight="false" outlineLevel="0" collapsed="false">
      <c r="A12" s="3" t="s">
        <v>49</v>
      </c>
      <c r="B12" s="4" t="n">
        <v>0</v>
      </c>
      <c r="C12" s="4" t="n">
        <v>0</v>
      </c>
      <c r="D12" s="13" t="n">
        <f aca="false">B12+C12</f>
        <v>0</v>
      </c>
      <c r="E12" s="4" t="n">
        <v>0</v>
      </c>
      <c r="F12" s="15" t="n">
        <f aca="false">IF(D12=0,0,E12/D12)</f>
        <v>0</v>
      </c>
      <c r="G12" s="16" t="n">
        <v>0</v>
      </c>
      <c r="H12" s="13" t="n">
        <f aca="false">IF(G12=0,0,D12/G12)</f>
        <v>0</v>
      </c>
    </row>
    <row r="13" customFormat="false" ht="15" hidden="false" customHeight="false" outlineLevel="0" collapsed="false">
      <c r="A13" s="3" t="s">
        <v>50</v>
      </c>
      <c r="B13" s="4" t="n">
        <v>0</v>
      </c>
      <c r="C13" s="4" t="n">
        <v>0</v>
      </c>
      <c r="D13" s="13" t="n">
        <f aca="false">B13+C13</f>
        <v>0</v>
      </c>
      <c r="E13" s="4" t="n">
        <v>0</v>
      </c>
      <c r="F13" s="15" t="n">
        <f aca="false">IF(D13=0,0,E13/D13)</f>
        <v>0</v>
      </c>
      <c r="G13" s="16" t="n">
        <v>0</v>
      </c>
      <c r="H13" s="13" t="n">
        <f aca="false">IF(G13=0,0,D13/G13)</f>
        <v>0</v>
      </c>
    </row>
    <row r="14" customFormat="false" ht="15" hidden="false" customHeight="false" outlineLevel="0" collapsed="false">
      <c r="A14" s="3" t="s">
        <v>51</v>
      </c>
      <c r="B14" s="4" t="n">
        <v>0</v>
      </c>
      <c r="C14" s="4" t="n">
        <v>0</v>
      </c>
      <c r="D14" s="13" t="n">
        <f aca="false">B14+C14</f>
        <v>0</v>
      </c>
      <c r="E14" s="4" t="n">
        <v>0</v>
      </c>
      <c r="F14" s="15" t="n">
        <f aca="false">IF(D14=0,0,E14/D14)</f>
        <v>0</v>
      </c>
      <c r="G14" s="16" t="n">
        <v>0</v>
      </c>
      <c r="H14" s="13" t="n">
        <f aca="false">IF(G14=0,0,D14/G14)</f>
        <v>0</v>
      </c>
    </row>
    <row r="15" customFormat="false" ht="15" hidden="false" customHeight="false" outlineLevel="0" collapsed="false">
      <c r="A15" s="3" t="s">
        <v>52</v>
      </c>
      <c r="B15" s="4" t="n">
        <v>0</v>
      </c>
      <c r="C15" s="4" t="n">
        <v>0</v>
      </c>
      <c r="D15" s="13" t="n">
        <f aca="false">B15+C15</f>
        <v>0</v>
      </c>
      <c r="E15" s="4" t="n">
        <v>0</v>
      </c>
      <c r="F15" s="15" t="n">
        <f aca="false">IF(D15=0,0,E15/D15)</f>
        <v>0</v>
      </c>
      <c r="G15" s="16" t="n">
        <v>0</v>
      </c>
      <c r="H15" s="13" t="n">
        <f aca="false">IF(G15=0,0,D15/G15)</f>
        <v>0</v>
      </c>
    </row>
    <row r="16" customFormat="false" ht="15" hidden="false" customHeight="false" outlineLevel="0" collapsed="false">
      <c r="A16" s="6" t="s">
        <v>18</v>
      </c>
      <c r="B16" s="7" t="n">
        <f aca="false">SUM(B4:B15)</f>
        <v>0</v>
      </c>
      <c r="C16" s="7" t="n">
        <f aca="false">SUM(C4:C15)</f>
        <v>0</v>
      </c>
      <c r="D16" s="7" t="n">
        <f aca="false">SUM(D4:D15)</f>
        <v>0</v>
      </c>
      <c r="E16" s="7" t="n">
        <f aca="false">SUM(E4:E15)</f>
        <v>0</v>
      </c>
      <c r="F16" s="17" t="n">
        <f aca="false">IF(D16=0,0,E16/D16)</f>
        <v>0</v>
      </c>
      <c r="G16" s="18" t="n">
        <f aca="false">SUM(G4:G15)</f>
        <v>0</v>
      </c>
      <c r="H16" s="7" t="n">
        <f aca="false">IF(G16=0,0,D16/G16)</f>
        <v>0</v>
      </c>
    </row>
    <row r="18" customFormat="false" ht="15" hidden="false" customHeight="false" outlineLevel="0" collapsed="false">
      <c r="A18" s="9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46"/>
  </cols>
  <sheetData>
    <row r="1" customFormat="false" ht="17.35" hidden="false" customHeight="false" outlineLevel="0" collapsed="false">
      <c r="A1" s="1" t="s">
        <v>54</v>
      </c>
    </row>
    <row r="3" customFormat="false" ht="15" hidden="false" customHeight="false" outlineLevel="0" collapsed="false">
      <c r="A3" s="10" t="s">
        <v>55</v>
      </c>
      <c r="B3" s="11" t="n">
        <v>30000</v>
      </c>
    </row>
    <row r="5" customFormat="false" ht="15" hidden="false" customHeight="false" outlineLevel="0" collapsed="false">
      <c r="A5" s="2" t="s">
        <v>56</v>
      </c>
      <c r="B5" s="2" t="s">
        <v>57</v>
      </c>
      <c r="C5" s="2" t="s">
        <v>58</v>
      </c>
      <c r="D5" s="2" t="s">
        <v>59</v>
      </c>
    </row>
    <row r="6" customFormat="false" ht="15" hidden="false" customHeight="false" outlineLevel="0" collapsed="false">
      <c r="A6" s="3" t="s">
        <v>60</v>
      </c>
      <c r="B6" s="19" t="n">
        <v>1</v>
      </c>
      <c r="C6" s="13" t="n">
        <f aca="false">$B$3*B6</f>
        <v>30000</v>
      </c>
      <c r="D6" s="3" t="s">
        <v>61</v>
      </c>
    </row>
    <row r="7" customFormat="false" ht="15" hidden="false" customHeight="false" outlineLevel="0" collapsed="false">
      <c r="A7" s="3" t="s">
        <v>62</v>
      </c>
      <c r="B7" s="19" t="n">
        <v>0.7</v>
      </c>
      <c r="C7" s="13" t="n">
        <f aca="false">$B$3*B7</f>
        <v>21000</v>
      </c>
      <c r="D7" s="3" t="s">
        <v>63</v>
      </c>
    </row>
    <row r="8" customFormat="false" ht="15" hidden="false" customHeight="false" outlineLevel="0" collapsed="false">
      <c r="A8" s="3" t="s">
        <v>64</v>
      </c>
      <c r="B8" s="19" t="n">
        <v>0.85</v>
      </c>
      <c r="C8" s="13" t="n">
        <f aca="false">$B$3*B8</f>
        <v>25500</v>
      </c>
      <c r="D8" s="3" t="s">
        <v>65</v>
      </c>
    </row>
    <row r="10" customFormat="false" ht="15" hidden="false" customHeight="false" outlineLevel="0" collapsed="false">
      <c r="A10" s="9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67</v>
      </c>
    </row>
    <row r="3" customFormat="false" ht="15" hidden="false" customHeight="false" outlineLevel="0" collapsed="false">
      <c r="A3" s="2" t="s">
        <v>68</v>
      </c>
      <c r="B3" s="2" t="s">
        <v>69</v>
      </c>
      <c r="C3" s="2" t="s">
        <v>70</v>
      </c>
      <c r="D3" s="2" t="s">
        <v>71</v>
      </c>
    </row>
    <row r="4" customFormat="false" ht="15" hidden="false" customHeight="false" outlineLevel="0" collapsed="false">
      <c r="A4" s="3" t="s">
        <v>72</v>
      </c>
      <c r="B4" s="3" t="s">
        <v>73</v>
      </c>
      <c r="C4" s="3" t="s">
        <v>74</v>
      </c>
      <c r="D4" s="3" t="s">
        <v>75</v>
      </c>
    </row>
    <row r="5" customFormat="false" ht="15" hidden="false" customHeight="false" outlineLevel="0" collapsed="false">
      <c r="A5" s="3" t="s">
        <v>76</v>
      </c>
      <c r="B5" s="3" t="s">
        <v>77</v>
      </c>
      <c r="C5" s="3" t="s">
        <v>78</v>
      </c>
      <c r="D5" s="3" t="s">
        <v>79</v>
      </c>
    </row>
    <row r="6" customFormat="false" ht="15" hidden="false" customHeight="false" outlineLevel="0" collapsed="false">
      <c r="A6" s="3" t="s">
        <v>80</v>
      </c>
      <c r="B6" s="3" t="s">
        <v>81</v>
      </c>
      <c r="C6" s="3" t="s">
        <v>82</v>
      </c>
      <c r="D6" s="3" t="s">
        <v>83</v>
      </c>
    </row>
    <row r="7" customFormat="false" ht="15" hidden="false" customHeight="false" outlineLevel="0" collapsed="false">
      <c r="A7" s="3" t="s">
        <v>84</v>
      </c>
      <c r="B7" s="3" t="s">
        <v>85</v>
      </c>
      <c r="C7" s="3" t="s">
        <v>86</v>
      </c>
      <c r="D7" s="3" t="s">
        <v>87</v>
      </c>
    </row>
    <row r="8" customFormat="false" ht="15" hidden="false" customHeight="false" outlineLevel="0" collapsed="false">
      <c r="A8" s="3" t="s">
        <v>88</v>
      </c>
      <c r="B8" s="3" t="s">
        <v>89</v>
      </c>
      <c r="C8" s="3" t="s">
        <v>90</v>
      </c>
      <c r="D8" s="3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2026-06-26T11:37:46Z</dcterms:created>
  <dc:creator>openpyxl</dc:creator>
  <dc:description/>
  <dc:language>en-US</dc:language>
  <cp:lastModifiedBy/>
  <dcterms:modified xsi:type="dcterms:W3CDTF">2026-06-26T11:37:46Z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